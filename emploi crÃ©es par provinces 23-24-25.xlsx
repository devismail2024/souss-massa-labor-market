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4000" windowHeight="9615"/>
  </bookViews>
  <sheets>
    <sheet name="Feuil1" sheetId="1" r:id="rId1"/>
  </sheets>
  <calcPr calcId="152511"/>
</workbook>
</file>

<file path=xl/calcChain.xml><?xml version="1.0" encoding="utf-8"?>
<calcChain xmlns="http://schemas.openxmlformats.org/spreadsheetml/2006/main">
  <c r="Y11" i="1" l="1"/>
  <c r="Y12" i="1"/>
  <c r="Y13" i="1"/>
  <c r="Y14" i="1"/>
  <c r="Y15" i="1"/>
  <c r="Y16" i="1"/>
  <c r="Y17" i="1"/>
  <c r="Y10" i="1"/>
  <c r="W11" i="1"/>
  <c r="W12" i="1"/>
  <c r="W13" i="1"/>
  <c r="W14" i="1"/>
  <c r="W15" i="1"/>
  <c r="W16" i="1"/>
  <c r="W17" i="1"/>
  <c r="W10" i="1"/>
  <c r="V10" i="1"/>
  <c r="X10" i="1" s="1"/>
  <c r="X12" i="1"/>
  <c r="X13" i="1"/>
  <c r="X14" i="1"/>
  <c r="X15" i="1"/>
  <c r="X16" i="1"/>
  <c r="X17" i="1"/>
  <c r="S17" i="1" l="1"/>
  <c r="R17" i="1"/>
  <c r="P17" i="1"/>
  <c r="V17" i="1" s="1"/>
  <c r="M17" i="1"/>
  <c r="S16" i="1"/>
  <c r="P16" i="1"/>
  <c r="V16" i="1" s="1"/>
  <c r="M16" i="1"/>
  <c r="R16" i="1" s="1"/>
  <c r="S15" i="1"/>
  <c r="R15" i="1"/>
  <c r="P15" i="1"/>
  <c r="V15" i="1" s="1"/>
  <c r="M15" i="1"/>
  <c r="S14" i="1"/>
  <c r="P14" i="1"/>
  <c r="V14" i="1" s="1"/>
  <c r="M14" i="1"/>
  <c r="R14" i="1" s="1"/>
  <c r="S13" i="1"/>
  <c r="P13" i="1"/>
  <c r="V13" i="1" s="1"/>
  <c r="M13" i="1"/>
  <c r="R13" i="1" s="1"/>
  <c r="S12" i="1"/>
  <c r="P12" i="1"/>
  <c r="V12" i="1" s="1"/>
  <c r="M12" i="1"/>
  <c r="R12" i="1" s="1"/>
  <c r="V11" i="1"/>
  <c r="X11" i="1" s="1"/>
  <c r="S11" i="1"/>
  <c r="P11" i="1"/>
  <c r="M11" i="1"/>
  <c r="R11" i="1" s="1"/>
  <c r="S10" i="1"/>
  <c r="P10" i="1"/>
  <c r="M10" i="1"/>
  <c r="R10" i="1" s="1"/>
</calcChain>
</file>

<file path=xl/sharedStrings.xml><?xml version="1.0" encoding="utf-8"?>
<sst xmlns="http://schemas.openxmlformats.org/spreadsheetml/2006/main" count="62" uniqueCount="35">
  <si>
    <t>RGPH</t>
  </si>
  <si>
    <t>diff 24-25</t>
  </si>
  <si>
    <t>OCCUPEE 2024</t>
  </si>
  <si>
    <t xml:space="preserve"> 15+ 2023</t>
  </si>
  <si>
    <t xml:space="preserve"> 15+ 2024</t>
  </si>
  <si>
    <t>tx 24-25</t>
  </si>
  <si>
    <t>estim 15+ 2025</t>
  </si>
  <si>
    <t>TAUX EMPLOI</t>
  </si>
  <si>
    <t>EMPLOI 2023</t>
  </si>
  <si>
    <t>EMPLOI 2024</t>
  </si>
  <si>
    <t>EMPLOI 2025</t>
  </si>
  <si>
    <t>MAROC</t>
  </si>
  <si>
    <t>SM</t>
  </si>
  <si>
    <t>AIO</t>
  </si>
  <si>
    <t>CAB</t>
  </si>
  <si>
    <t>IAM</t>
  </si>
  <si>
    <t>TRDNT</t>
  </si>
  <si>
    <t>TIZ</t>
  </si>
  <si>
    <t>TATA</t>
  </si>
  <si>
    <t>Le taux d'emploi par milieu de résidence</t>
  </si>
  <si>
    <t>Urbain</t>
  </si>
  <si>
    <t>Rural</t>
  </si>
  <si>
    <t>Ensemble</t>
  </si>
  <si>
    <t>Province/Préfecture</t>
  </si>
  <si>
    <t>Chiffre</t>
  </si>
  <si>
    <t>Signe</t>
  </si>
  <si>
    <t>Agadir-Ida-Ou-Tanane</t>
  </si>
  <si>
    <t/>
  </si>
  <si>
    <t>Chtouka-Ait Baha</t>
  </si>
  <si>
    <t>Inezgane-Ait Melloul</t>
  </si>
  <si>
    <t>Taroudannt</t>
  </si>
  <si>
    <t>Tata</t>
  </si>
  <si>
    <t>Tiznit</t>
  </si>
  <si>
    <t>diff 23-24</t>
  </si>
  <si>
    <t>23-25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</si>
</sst>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7030A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7030A0"/>
      <name val="Calibri"/>
      <family val="2"/>
      <scheme val="minor"/>
    </font>
    <font>
      <b/>
      <sz val="12"/>
      <color theme="1"/>
      <name val="Garamond"/>
      <family val="1"/>
    </font>
    <font>
      <sz val="12"/>
      <color theme="1"/>
      <name val="Garamond"/>
      <family val="1"/>
    </font>
    <font>
      <b/>
      <sz val="12"/>
      <color indexed="8"/>
      <name val="Garamond"/>
      <family val="1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3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6" fillId="0" borderId="0" xfId="0" applyFont="1"/>
    <xf numFmtId="0" fontId="7" fillId="0" borderId="0" xfId="1" applyFont="1" applyAlignment="1">
      <alignment vertical="center"/>
    </xf>
    <xf numFmtId="0" fontId="7" fillId="0" borderId="0" xfId="1" applyFont="1" applyAlignment="1">
      <alignment horizontal="center" vertical="center"/>
    </xf>
    <xf numFmtId="0" fontId="8" fillId="0" borderId="7" xfId="1" applyFont="1" applyBorder="1" applyAlignment="1">
      <alignment vertical="center"/>
    </xf>
    <xf numFmtId="0" fontId="9" fillId="0" borderId="9" xfId="1" applyFont="1" applyBorder="1" applyAlignment="1">
      <alignment horizontal="center" vertical="center"/>
    </xf>
    <xf numFmtId="0" fontId="7" fillId="0" borderId="9" xfId="1" applyFont="1" applyBorder="1" applyAlignment="1">
      <alignment horizontal="center" vertical="center"/>
    </xf>
    <xf numFmtId="0" fontId="8" fillId="0" borderId="0" xfId="1" applyFont="1" applyAlignment="1">
      <alignment vertical="center"/>
    </xf>
    <xf numFmtId="164" fontId="8" fillId="0" borderId="0" xfId="1" applyNumberFormat="1" applyFont="1" applyAlignment="1">
      <alignment horizontal="right" vertical="center" indent="1"/>
    </xf>
    <xf numFmtId="0" fontId="8" fillId="0" borderId="0" xfId="1" applyFont="1" applyAlignment="1">
      <alignment horizontal="left" vertical="center"/>
    </xf>
    <xf numFmtId="0" fontId="8" fillId="0" borderId="10" xfId="1" applyFont="1" applyBorder="1" applyAlignment="1">
      <alignment vertical="center"/>
    </xf>
    <xf numFmtId="164" fontId="8" fillId="0" borderId="10" xfId="1" applyNumberFormat="1" applyFont="1" applyBorder="1" applyAlignment="1">
      <alignment horizontal="right" vertical="center" indent="1"/>
    </xf>
    <xf numFmtId="0" fontId="8" fillId="0" borderId="10" xfId="1" applyFont="1" applyBorder="1" applyAlignment="1">
      <alignment horizontal="left" vertical="center"/>
    </xf>
    <xf numFmtId="0" fontId="10" fillId="0" borderId="0" xfId="0" applyFont="1" applyBorder="1" applyAlignment="1">
      <alignment horizontal="center"/>
    </xf>
    <xf numFmtId="0" fontId="7" fillId="0" borderId="8" xfId="1" applyFont="1" applyBorder="1" applyAlignment="1">
      <alignment horizontal="center" vertical="center"/>
    </xf>
    <xf numFmtId="0" fontId="11" fillId="2" borderId="0" xfId="0" applyFont="1" applyFill="1" applyAlignment="1">
      <alignment horizontal="center"/>
    </xf>
  </cellXfs>
  <cellStyles count="2">
    <cellStyle name="Normal" xfId="0" builtinId="0"/>
    <cellStyle name="Normal 3" xfId="1"/>
  </cellStyles>
  <dxfs count="3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7:Y28"/>
  <sheetViews>
    <sheetView tabSelected="1" topLeftCell="F1" workbookViewId="0">
      <selection activeCell="W24" sqref="W24"/>
    </sheetView>
  </sheetViews>
  <sheetFormatPr baseColWidth="10" defaultColWidth="9.140625" defaultRowHeight="15" x14ac:dyDescent="0.25"/>
  <cols>
    <col min="16" max="16" width="15.85546875" customWidth="1"/>
    <col min="17" max="24" width="12.140625" customWidth="1"/>
  </cols>
  <sheetData>
    <row r="7" spans="8:25" ht="15.75" thickBot="1" x14ac:dyDescent="0.3"/>
    <row r="8" spans="8:25" x14ac:dyDescent="0.25">
      <c r="H8" s="1" t="s">
        <v>0</v>
      </c>
      <c r="L8" s="1"/>
      <c r="M8" s="1" t="s">
        <v>0</v>
      </c>
      <c r="N8" s="2" t="s">
        <v>0</v>
      </c>
      <c r="O8" s="3" t="s">
        <v>0</v>
      </c>
      <c r="P8" s="1" t="s">
        <v>0</v>
      </c>
      <c r="Q8" s="1">
        <v>2023</v>
      </c>
      <c r="R8" s="1"/>
      <c r="S8" s="1"/>
      <c r="T8" s="1">
        <v>2024</v>
      </c>
      <c r="U8" s="1">
        <v>2025</v>
      </c>
      <c r="V8" s="1"/>
      <c r="W8" s="4" t="s">
        <v>33</v>
      </c>
      <c r="X8" s="4" t="s">
        <v>1</v>
      </c>
      <c r="Y8" s="30" t="s">
        <v>34</v>
      </c>
    </row>
    <row r="9" spans="8:25" x14ac:dyDescent="0.25">
      <c r="H9" s="1" t="s">
        <v>2</v>
      </c>
      <c r="L9" s="1"/>
      <c r="M9" s="1" t="s">
        <v>3</v>
      </c>
      <c r="N9" s="5" t="s">
        <v>4</v>
      </c>
      <c r="O9" s="6" t="s">
        <v>5</v>
      </c>
      <c r="P9" s="7" t="s">
        <v>6</v>
      </c>
      <c r="Q9" s="1" t="s">
        <v>7</v>
      </c>
      <c r="R9" s="8" t="s">
        <v>8</v>
      </c>
      <c r="S9" s="8" t="s">
        <v>9</v>
      </c>
      <c r="T9" s="1" t="s">
        <v>7</v>
      </c>
      <c r="U9" s="1" t="s">
        <v>7</v>
      </c>
      <c r="V9" s="8" t="s">
        <v>10</v>
      </c>
      <c r="W9" s="8"/>
      <c r="X9" s="4"/>
      <c r="Y9" s="30"/>
    </row>
    <row r="10" spans="8:25" x14ac:dyDescent="0.25">
      <c r="H10" s="1">
        <v>5938508</v>
      </c>
      <c r="L10" s="1" t="s">
        <v>11</v>
      </c>
      <c r="M10" s="1">
        <f>ROUND((N10/(1+O10)),0)</f>
        <v>17093639</v>
      </c>
      <c r="N10" s="9">
        <v>17238935</v>
      </c>
      <c r="O10" s="10">
        <v>8.5000000000000006E-3</v>
      </c>
      <c r="P10" s="11">
        <f>ROUND((+N10*(1+O10)),0)</f>
        <v>17385466</v>
      </c>
      <c r="Q10" s="7">
        <v>38</v>
      </c>
      <c r="R10" s="28">
        <f>+ROUND(((Q10/100)*M10),0)</f>
        <v>6495583</v>
      </c>
      <c r="S10" s="8">
        <f>ROUND((+T10*N10)/100,0)</f>
        <v>6499078</v>
      </c>
      <c r="T10" s="1">
        <v>37.700000000000003</v>
      </c>
      <c r="U10" s="1">
        <v>37.799999999999997</v>
      </c>
      <c r="V10" s="8">
        <f>ROUND((+P10*(U10/100)),0)</f>
        <v>6571706</v>
      </c>
      <c r="W10" s="4">
        <f>+S10-R10</f>
        <v>3495</v>
      </c>
      <c r="X10" s="4">
        <f t="shared" ref="X10:X17" si="0">ROUND(+V10-S10,0)</f>
        <v>72628</v>
      </c>
      <c r="Y10" s="30">
        <f>+X10+W10</f>
        <v>76123</v>
      </c>
    </row>
    <row r="11" spans="8:25" x14ac:dyDescent="0.25">
      <c r="H11" s="1">
        <v>479700</v>
      </c>
      <c r="L11" s="1" t="s">
        <v>12</v>
      </c>
      <c r="M11" s="1">
        <f>ROUND((N11/(1+O11)),0)</f>
        <v>1319422</v>
      </c>
      <c r="N11" s="9">
        <v>1335387</v>
      </c>
      <c r="O11" s="10">
        <v>1.21E-2</v>
      </c>
      <c r="P11" s="11">
        <f t="shared" ref="P11:P17" si="1">ROUND((+N11*(1+O11)),0)</f>
        <v>1351545</v>
      </c>
      <c r="Q11" s="7">
        <v>33.700000000000003</v>
      </c>
      <c r="R11" s="28">
        <f t="shared" ref="R11:R17" si="2">+ROUND(((Q11/100)*M11),0)</f>
        <v>444645</v>
      </c>
      <c r="S11" s="8">
        <f>ROUND((+T11*N11)/100,0)</f>
        <v>472727</v>
      </c>
      <c r="T11" s="1">
        <v>35.4</v>
      </c>
      <c r="U11" s="1">
        <v>36</v>
      </c>
      <c r="V11" s="8">
        <f>ROUND((+P11*(U11/100)),0)</f>
        <v>486556</v>
      </c>
      <c r="W11" s="4">
        <f t="shared" ref="W11:W17" si="3">+S11-R11</f>
        <v>28082</v>
      </c>
      <c r="X11" s="4">
        <f>ROUND(+V11-S11,0)</f>
        <v>13829</v>
      </c>
      <c r="Y11" s="30">
        <f t="shared" ref="Y11:Y17" si="4">+X11+W11</f>
        <v>41911</v>
      </c>
    </row>
    <row r="12" spans="8:25" x14ac:dyDescent="0.25">
      <c r="H12" s="1">
        <v>173206</v>
      </c>
      <c r="L12" s="1" t="s">
        <v>13</v>
      </c>
      <c r="M12" s="1">
        <f>ROUND((N12/(1+O12)),0)</f>
        <v>466106</v>
      </c>
      <c r="N12" s="9">
        <v>474729</v>
      </c>
      <c r="O12" s="10">
        <v>1.8499999999999999E-2</v>
      </c>
      <c r="P12" s="11">
        <f t="shared" si="1"/>
        <v>483511</v>
      </c>
      <c r="Q12" s="7">
        <v>33.1</v>
      </c>
      <c r="R12" s="28">
        <f t="shared" si="2"/>
        <v>154281</v>
      </c>
      <c r="S12" s="8">
        <f>ROUND((+T12*N12)/100,0)</f>
        <v>165206</v>
      </c>
      <c r="T12" s="1">
        <v>34.799999999999997</v>
      </c>
      <c r="U12" s="1">
        <v>35.299999999999997</v>
      </c>
      <c r="V12" s="8">
        <f>ROUND((+P12*(U12/100)),0)</f>
        <v>170679</v>
      </c>
      <c r="W12" s="4">
        <f t="shared" si="3"/>
        <v>10925</v>
      </c>
      <c r="X12" s="4">
        <f t="shared" si="0"/>
        <v>5473</v>
      </c>
      <c r="Y12" s="30">
        <f t="shared" si="4"/>
        <v>16398</v>
      </c>
    </row>
    <row r="13" spans="8:25" x14ac:dyDescent="0.25">
      <c r="H13" s="1">
        <v>54617</v>
      </c>
      <c r="L13" s="1" t="s">
        <v>14</v>
      </c>
      <c r="M13" s="1">
        <f>ROUND((N13/(1+O13)),0)</f>
        <v>118367</v>
      </c>
      <c r="N13" s="9">
        <v>121788</v>
      </c>
      <c r="O13" s="10">
        <v>2.8899999999999999E-2</v>
      </c>
      <c r="P13" s="11">
        <f t="shared" si="1"/>
        <v>125308</v>
      </c>
      <c r="Q13" s="7">
        <v>38.1</v>
      </c>
      <c r="R13" s="28">
        <f t="shared" si="2"/>
        <v>45098</v>
      </c>
      <c r="S13" s="8">
        <f>ROUND((+T13*N13)/100,0)</f>
        <v>48593</v>
      </c>
      <c r="T13" s="1">
        <v>39.9</v>
      </c>
      <c r="U13" s="1">
        <v>40.799999999999997</v>
      </c>
      <c r="V13" s="8">
        <f>ROUND((+P13*(U13/100)),0)</f>
        <v>51126</v>
      </c>
      <c r="W13" s="4">
        <f t="shared" si="3"/>
        <v>3495</v>
      </c>
      <c r="X13" s="4">
        <f t="shared" si="0"/>
        <v>2533</v>
      </c>
      <c r="Y13" s="30">
        <f t="shared" si="4"/>
        <v>6028</v>
      </c>
    </row>
    <row r="14" spans="8:25" x14ac:dyDescent="0.25">
      <c r="H14" s="12"/>
      <c r="L14" s="1" t="s">
        <v>15</v>
      </c>
      <c r="M14" s="1">
        <f t="shared" ref="M14:M17" si="5">ROUND((N14/(1+O14)),0)</f>
        <v>456035</v>
      </c>
      <c r="N14" s="9">
        <v>463514</v>
      </c>
      <c r="O14" s="10">
        <v>1.6400000000000001E-2</v>
      </c>
      <c r="P14" s="11">
        <f t="shared" si="1"/>
        <v>471116</v>
      </c>
      <c r="Q14" s="11">
        <v>35.1</v>
      </c>
      <c r="R14" s="28">
        <f t="shared" si="2"/>
        <v>160068</v>
      </c>
      <c r="S14" s="8">
        <f t="shared" ref="S14:S17" si="6">ROUND((+T14*N14)/100,0)</f>
        <v>169183</v>
      </c>
      <c r="T14" s="1">
        <v>36.5</v>
      </c>
      <c r="U14" s="1">
        <v>37</v>
      </c>
      <c r="V14" s="8">
        <f t="shared" ref="V14:V17" si="7">ROUND((+P14*(U14/100)),0)</f>
        <v>174313</v>
      </c>
      <c r="W14" s="4">
        <f t="shared" si="3"/>
        <v>9115</v>
      </c>
      <c r="X14" s="4">
        <f t="shared" si="0"/>
        <v>5130</v>
      </c>
      <c r="Y14" s="30">
        <f t="shared" si="4"/>
        <v>14245</v>
      </c>
    </row>
    <row r="15" spans="8:25" x14ac:dyDescent="0.25">
      <c r="L15" s="1" t="s">
        <v>16</v>
      </c>
      <c r="M15" s="1">
        <f t="shared" si="5"/>
        <v>625653</v>
      </c>
      <c r="N15" s="9">
        <v>627092</v>
      </c>
      <c r="O15" s="10">
        <v>2.3E-3</v>
      </c>
      <c r="P15" s="11">
        <f t="shared" si="1"/>
        <v>628534</v>
      </c>
      <c r="Q15" s="13">
        <v>33.200000000000003</v>
      </c>
      <c r="R15" s="28">
        <f t="shared" si="2"/>
        <v>207717</v>
      </c>
      <c r="S15" s="8">
        <f t="shared" si="6"/>
        <v>220109</v>
      </c>
      <c r="T15" s="1">
        <v>35.1</v>
      </c>
      <c r="U15" s="1">
        <v>35.799999999999997</v>
      </c>
      <c r="V15" s="8">
        <f t="shared" si="7"/>
        <v>225015</v>
      </c>
      <c r="W15" s="4">
        <f t="shared" si="3"/>
        <v>12392</v>
      </c>
      <c r="X15" s="4">
        <f t="shared" si="0"/>
        <v>4906</v>
      </c>
      <c r="Y15" s="30">
        <f t="shared" si="4"/>
        <v>17298</v>
      </c>
    </row>
    <row r="16" spans="8:25" x14ac:dyDescent="0.25">
      <c r="L16" s="1" t="s">
        <v>17</v>
      </c>
      <c r="M16" s="1">
        <f t="shared" si="5"/>
        <v>152194</v>
      </c>
      <c r="N16" s="9">
        <v>151540</v>
      </c>
      <c r="O16" s="10">
        <v>-4.3E-3</v>
      </c>
      <c r="P16" s="11">
        <f t="shared" si="1"/>
        <v>150888</v>
      </c>
      <c r="Q16" s="13">
        <v>29.1</v>
      </c>
      <c r="R16" s="28">
        <f t="shared" si="2"/>
        <v>44288</v>
      </c>
      <c r="S16" s="8">
        <f t="shared" si="6"/>
        <v>42886</v>
      </c>
      <c r="T16" s="1">
        <v>28.3</v>
      </c>
      <c r="U16" s="1">
        <v>29</v>
      </c>
      <c r="V16" s="8">
        <f t="shared" si="7"/>
        <v>43758</v>
      </c>
      <c r="W16" s="4">
        <f t="shared" si="3"/>
        <v>-1402</v>
      </c>
      <c r="X16" s="4">
        <f t="shared" si="0"/>
        <v>872</v>
      </c>
      <c r="Y16" s="30">
        <f t="shared" si="4"/>
        <v>-530</v>
      </c>
    </row>
    <row r="17" spans="4:25" ht="15.75" thickBot="1" x14ac:dyDescent="0.3">
      <c r="L17" s="1" t="s">
        <v>18</v>
      </c>
      <c r="M17" s="1">
        <f t="shared" si="5"/>
        <v>78786</v>
      </c>
      <c r="N17" s="14">
        <v>78368</v>
      </c>
      <c r="O17" s="15">
        <v>-5.3E-3</v>
      </c>
      <c r="P17" s="11">
        <f t="shared" si="1"/>
        <v>77953</v>
      </c>
      <c r="Q17" s="13">
        <v>26.1</v>
      </c>
      <c r="R17" s="28">
        <f t="shared" si="2"/>
        <v>20563</v>
      </c>
      <c r="S17" s="8">
        <f t="shared" si="6"/>
        <v>24216</v>
      </c>
      <c r="T17" s="1">
        <v>30.9</v>
      </c>
      <c r="U17" s="1">
        <v>31.6</v>
      </c>
      <c r="V17" s="8">
        <f t="shared" si="7"/>
        <v>24633</v>
      </c>
      <c r="W17" s="4">
        <f t="shared" si="3"/>
        <v>3653</v>
      </c>
      <c r="X17" s="4">
        <f t="shared" si="0"/>
        <v>417</v>
      </c>
      <c r="Y17" s="30">
        <f t="shared" si="4"/>
        <v>4070</v>
      </c>
    </row>
    <row r="18" spans="4:25" x14ac:dyDescent="0.25">
      <c r="Q18" s="16"/>
    </row>
    <row r="20" spans="4:25" ht="16.5" thickBot="1" x14ac:dyDescent="0.3">
      <c r="D20" s="17" t="s">
        <v>19</v>
      </c>
      <c r="E20" s="18"/>
      <c r="F20" s="18"/>
      <c r="G20" s="18"/>
      <c r="H20" s="18"/>
      <c r="I20" s="18"/>
      <c r="J20" s="18"/>
    </row>
    <row r="21" spans="4:25" ht="15.75" x14ac:dyDescent="0.25">
      <c r="D21" s="19"/>
      <c r="E21" s="29" t="s">
        <v>20</v>
      </c>
      <c r="F21" s="29"/>
      <c r="G21" s="29" t="s">
        <v>21</v>
      </c>
      <c r="H21" s="29"/>
      <c r="I21" s="29" t="s">
        <v>22</v>
      </c>
      <c r="J21" s="29"/>
    </row>
    <row r="22" spans="4:25" ht="15.75" x14ac:dyDescent="0.25">
      <c r="D22" s="20" t="s">
        <v>23</v>
      </c>
      <c r="E22" s="21" t="s">
        <v>24</v>
      </c>
      <c r="F22" s="21" t="s">
        <v>25</v>
      </c>
      <c r="G22" s="21" t="s">
        <v>24</v>
      </c>
      <c r="H22" s="21" t="s">
        <v>25</v>
      </c>
      <c r="I22" s="21" t="s">
        <v>24</v>
      </c>
      <c r="J22" s="21" t="s">
        <v>25</v>
      </c>
      <c r="W22" s="30">
        <v>16398</v>
      </c>
    </row>
    <row r="23" spans="4:25" ht="15.75" x14ac:dyDescent="0.25">
      <c r="D23" s="22" t="s">
        <v>26</v>
      </c>
      <c r="E23" s="23">
        <v>33</v>
      </c>
      <c r="F23" s="24" t="s">
        <v>27</v>
      </c>
      <c r="G23" s="23">
        <v>33.9</v>
      </c>
      <c r="H23" s="24" t="s">
        <v>27</v>
      </c>
      <c r="I23" s="23">
        <v>33.1</v>
      </c>
      <c r="J23" s="24" t="s">
        <v>27</v>
      </c>
      <c r="W23">
        <v>41911</v>
      </c>
    </row>
    <row r="24" spans="4:25" ht="15.75" x14ac:dyDescent="0.25">
      <c r="D24" s="22" t="s">
        <v>28</v>
      </c>
      <c r="E24" s="23">
        <v>41.7</v>
      </c>
      <c r="F24" s="24" t="s">
        <v>27</v>
      </c>
      <c r="G24" s="23">
        <v>36.200000000000003</v>
      </c>
      <c r="H24" s="24" t="s">
        <v>27</v>
      </c>
      <c r="I24" s="23">
        <v>38.1</v>
      </c>
      <c r="J24" s="24" t="s">
        <v>27</v>
      </c>
      <c r="W24">
        <v>76123</v>
      </c>
    </row>
    <row r="25" spans="4:25" ht="15.75" x14ac:dyDescent="0.25">
      <c r="D25" s="22" t="s">
        <v>29</v>
      </c>
      <c r="E25" s="23">
        <v>35.200000000000003</v>
      </c>
      <c r="F25" s="24" t="s">
        <v>27</v>
      </c>
      <c r="G25" s="23">
        <v>32.6</v>
      </c>
      <c r="H25" s="24" t="s">
        <v>27</v>
      </c>
      <c r="I25" s="23">
        <v>35.1</v>
      </c>
      <c r="J25" s="24" t="s">
        <v>27</v>
      </c>
    </row>
    <row r="26" spans="4:25" ht="15.75" x14ac:dyDescent="0.25">
      <c r="D26" s="22" t="s">
        <v>30</v>
      </c>
      <c r="E26" s="23">
        <v>32.9</v>
      </c>
      <c r="F26" s="24" t="s">
        <v>27</v>
      </c>
      <c r="G26" s="23">
        <v>33.299999999999997</v>
      </c>
      <c r="H26" s="24" t="s">
        <v>27</v>
      </c>
      <c r="I26" s="23">
        <v>33.200000000000003</v>
      </c>
      <c r="J26" s="24" t="s">
        <v>27</v>
      </c>
    </row>
    <row r="27" spans="4:25" ht="15.75" x14ac:dyDescent="0.25">
      <c r="D27" s="22" t="s">
        <v>31</v>
      </c>
      <c r="E27" s="23">
        <v>33.6</v>
      </c>
      <c r="F27" s="24" t="s">
        <v>27</v>
      </c>
      <c r="G27" s="23">
        <v>20.8</v>
      </c>
      <c r="H27" s="24" t="s">
        <v>27</v>
      </c>
      <c r="I27" s="23">
        <v>26.1</v>
      </c>
      <c r="J27" s="24" t="s">
        <v>27</v>
      </c>
    </row>
    <row r="28" spans="4:25" ht="16.5" thickBot="1" x14ac:dyDescent="0.3">
      <c r="D28" s="25" t="s">
        <v>32</v>
      </c>
      <c r="E28" s="26">
        <v>33.1</v>
      </c>
      <c r="F28" s="27" t="s">
        <v>27</v>
      </c>
      <c r="G28" s="26">
        <v>25.7</v>
      </c>
      <c r="H28" s="27" t="s">
        <v>27</v>
      </c>
      <c r="I28" s="26">
        <v>29.1</v>
      </c>
      <c r="J28" s="27" t="s">
        <v>27</v>
      </c>
    </row>
  </sheetData>
  <mergeCells count="3">
    <mergeCell ref="E21:F21"/>
    <mergeCell ref="G21:H21"/>
    <mergeCell ref="I21:J21"/>
  </mergeCells>
  <conditionalFormatting sqref="D20:J28">
    <cfRule type="cellIs" dxfId="2" priority="1" operator="equal">
      <formula>"ps+"</formula>
    </cfRule>
    <cfRule type="cellIs" dxfId="1" priority="2" operator="equal">
      <formula>"ps"</formula>
    </cfRule>
    <cfRule type="cellIs" dxfId="0" priority="3" operator="equal">
      <formula>"ms"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2026-05-21T14:56:17Z</dcterms:modified>
</cp:coreProperties>
</file>